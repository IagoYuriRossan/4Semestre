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s\Desktop\4Semestre\Estatistica\"/>
    </mc:Choice>
  </mc:AlternateContent>
  <xr:revisionPtr revIDLastSave="0" documentId="13_ncr:1_{1B3F05B6-1E49-4C4C-B254-8969E44D4235}" xr6:coauthVersionLast="36" xr6:coauthVersionMax="36" xr10:uidLastSave="{00000000-0000-0000-0000-000000000000}"/>
  <bookViews>
    <workbookView xWindow="0" yWindow="0" windowWidth="19200" windowHeight="6930" activeTab="1" xr2:uid="{7810A80C-C55E-44DB-988D-D42B9788CD62}"/>
  </bookViews>
  <sheets>
    <sheet name="Exemplo1" sheetId="1" r:id="rId1"/>
    <sheet name="Exemplo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2" l="1"/>
  <c r="E14" i="2"/>
  <c r="J13" i="2"/>
  <c r="J4" i="2"/>
  <c r="J5" i="2"/>
  <c r="J6" i="2"/>
  <c r="J7" i="2"/>
  <c r="J8" i="2"/>
  <c r="J9" i="2"/>
  <c r="J10" i="2"/>
  <c r="J11" i="2"/>
  <c r="J12" i="2"/>
  <c r="J3" i="2"/>
  <c r="I13" i="2"/>
  <c r="I4" i="2"/>
  <c r="I5" i="2"/>
  <c r="I6" i="2"/>
  <c r="I7" i="2"/>
  <c r="I8" i="2"/>
  <c r="I9" i="2"/>
  <c r="I10" i="2"/>
  <c r="I11" i="2"/>
  <c r="I12" i="2"/>
  <c r="I3" i="2"/>
  <c r="H4" i="2"/>
  <c r="H5" i="2"/>
  <c r="H6" i="2"/>
  <c r="H7" i="2"/>
  <c r="H8" i="2"/>
  <c r="H9" i="2"/>
  <c r="H10" i="2"/>
  <c r="H11" i="2"/>
  <c r="H12" i="2"/>
  <c r="H3" i="2"/>
  <c r="G4" i="2"/>
  <c r="G5" i="2"/>
  <c r="G6" i="2"/>
  <c r="G7" i="2"/>
  <c r="G8" i="2"/>
  <c r="G9" i="2"/>
  <c r="G10" i="2"/>
  <c r="G11" i="2"/>
  <c r="G12" i="2"/>
  <c r="G3" i="2"/>
  <c r="C13" i="2"/>
  <c r="B13" i="2"/>
  <c r="F8" i="2"/>
  <c r="E9" i="2"/>
  <c r="F9" i="2" s="1"/>
  <c r="E10" i="2"/>
  <c r="F10" i="2" s="1"/>
  <c r="D4" i="2"/>
  <c r="E4" i="2" s="1"/>
  <c r="F4" i="2" s="1"/>
  <c r="D5" i="2"/>
  <c r="E5" i="2" s="1"/>
  <c r="F5" i="2" s="1"/>
  <c r="D6" i="2"/>
  <c r="E6" i="2" s="1"/>
  <c r="F6" i="2" s="1"/>
  <c r="D7" i="2"/>
  <c r="E7" i="2" s="1"/>
  <c r="F7" i="2" s="1"/>
  <c r="D8" i="2"/>
  <c r="E8" i="2" s="1"/>
  <c r="D9" i="2"/>
  <c r="D10" i="2"/>
  <c r="D11" i="2"/>
  <c r="E11" i="2" s="1"/>
  <c r="F11" i="2" s="1"/>
  <c r="D12" i="2"/>
  <c r="E12" i="2" s="1"/>
  <c r="F12" i="2" s="1"/>
  <c r="D3" i="2"/>
  <c r="E3" i="2" s="1"/>
  <c r="F3" i="2" s="1"/>
  <c r="I14" i="1"/>
  <c r="I1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13" i="2" l="1"/>
  <c r="E13" i="2"/>
  <c r="F15" i="1"/>
  <c r="F14" i="1"/>
  <c r="F13" i="1" l="1"/>
  <c r="F4" i="1"/>
  <c r="F5" i="1"/>
  <c r="F6" i="1"/>
  <c r="F7" i="1"/>
  <c r="F8" i="1"/>
  <c r="F9" i="1"/>
  <c r="F10" i="1"/>
  <c r="F11" i="1"/>
  <c r="F12" i="1"/>
  <c r="F3" i="1"/>
  <c r="E15" i="1"/>
  <c r="E14" i="1"/>
  <c r="E13" i="1"/>
  <c r="E4" i="1"/>
  <c r="E5" i="1"/>
  <c r="E6" i="1"/>
  <c r="E7" i="1"/>
  <c r="E8" i="1"/>
  <c r="E9" i="1"/>
  <c r="E10" i="1"/>
  <c r="E11" i="1"/>
  <c r="E12" i="1"/>
  <c r="E3" i="1"/>
  <c r="D14" i="1"/>
  <c r="D13" i="1"/>
  <c r="C14" i="1"/>
  <c r="C13" i="1"/>
</calcChain>
</file>

<file path=xl/sharedStrings.xml><?xml version="1.0" encoding="utf-8"?>
<sst xmlns="http://schemas.openxmlformats.org/spreadsheetml/2006/main" count="44" uniqueCount="30">
  <si>
    <t>Agente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</si>
  <si>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</si>
  <si>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</si>
  <si>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</si>
  <si>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</si>
  <si>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</si>
  <si>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</si>
  <si>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</si>
  <si>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</si>
  <si>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</si>
  <si>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</si>
  <si>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Numero de Clientes(Y)</t>
  </si>
  <si>
    <t>Anos de Serviço(X)</t>
  </si>
  <si>
    <t>Media_X</t>
  </si>
  <si>
    <t>Media_Y</t>
  </si>
  <si>
    <t>Desvio Padrao_X</t>
  </si>
  <si>
    <t>Desvio Padrao_Y</t>
  </si>
  <si>
    <t>P1</t>
  </si>
  <si>
    <t>P2</t>
  </si>
  <si>
    <t>P1*P2</t>
  </si>
  <si>
    <t>Y_Estimado</t>
  </si>
  <si>
    <t>Aplha</t>
  </si>
  <si>
    <t>Beta</t>
  </si>
  <si>
    <t>Y=39+3X</t>
  </si>
  <si>
    <t>(U_i)^2</t>
  </si>
  <si>
    <t>U_i</t>
  </si>
  <si>
    <t>(X_i - X)</t>
  </si>
  <si>
    <t>(Y_i - Y)</t>
  </si>
  <si>
    <t>(X_i - X)*(Y_i - Y)</t>
  </si>
  <si>
    <t>(X_i -X)^2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</si>
</sst>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8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6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Border="1" applyAlignment="1">
      <alignment horizont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1C3F-C4CA-4848-B17E-8F6DB945B4EB}">
  <dimension ref="B1:J15"/>
  <sheetViews>
    <sheetView workbookViewId="0">
      <selection activeCell="D3" sqref="D3:D12"/>
    </sheetView>
  </sheetViews>
  <sheetFormatPr defaultRowHeight="14.5" x14ac:dyDescent="0.35"/>
  <cols>
    <col min="2" max="2" width="9.453125" customWidth="1"/>
    <col min="3" max="3" width="12" customWidth="1"/>
    <col min="4" max="4" width="14.36328125" customWidth="1"/>
    <col min="5" max="5" width="13.26953125" customWidth="1"/>
    <col min="7" max="7" width="14.7265625" customWidth="1"/>
    <col min="9" max="9" width="10.08984375" customWidth="1"/>
  </cols>
  <sheetData>
    <row r="1" spans="2:10" ht="15" thickBot="1" x14ac:dyDescent="0.4"/>
    <row r="2" spans="2:10" ht="29.5" customHeight="1" thickBot="1" x14ac:dyDescent="0.4">
      <c r="B2" s="3" t="s">
        <v>0</v>
      </c>
      <c r="C2" s="4" t="s">
        <v>12</v>
      </c>
      <c r="D2" s="5" t="s">
        <v>11</v>
      </c>
      <c r="E2" s="11" t="s">
        <v>15</v>
      </c>
      <c r="F2" s="10" t="s">
        <v>16</v>
      </c>
      <c r="G2" s="10" t="s">
        <v>17</v>
      </c>
      <c r="H2" s="10" t="s">
        <v>18</v>
      </c>
      <c r="I2" s="10" t="s">
        <v>19</v>
      </c>
      <c r="J2" s="10"/>
    </row>
    <row r="3" spans="2:10" x14ac:dyDescent="0.35">
      <c r="B3" s="1" t="s">
        <v>1</v>
      </c>
      <c r="C3" s="6">
        <v>2</v>
      </c>
      <c r="D3" s="7">
        <v>48</v>
      </c>
      <c r="E3">
        <f>($C$14-C3)^2</f>
        <v>13.690000000000001</v>
      </c>
      <c r="F3">
        <f>($D$14-D3)^2</f>
        <v>72.25</v>
      </c>
      <c r="G3">
        <f>(C3-$C$14)/$E$15</f>
        <v>-1.5350186552432912</v>
      </c>
      <c r="H3">
        <f>(D3-$D$14)/$F$15</f>
        <v>-1.0474686556943416</v>
      </c>
      <c r="I3">
        <f>G3*H3</f>
        <v>1.6078839272734262</v>
      </c>
    </row>
    <row r="4" spans="2:10" x14ac:dyDescent="0.35">
      <c r="B4" s="1" t="s">
        <v>2</v>
      </c>
      <c r="C4" s="6">
        <v>3</v>
      </c>
      <c r="D4" s="7">
        <v>50</v>
      </c>
      <c r="E4">
        <f t="shared" ref="E4:E12" si="0">($C$14-C4)^2</f>
        <v>7.2900000000000009</v>
      </c>
      <c r="F4">
        <f t="shared" ref="F4:F12" si="1">($D$14-D4)^2</f>
        <v>42.25</v>
      </c>
      <c r="G4">
        <f t="shared" ref="G4:G15" si="2">(C4-$C$14)/$E$15</f>
        <v>-1.1201487484207802</v>
      </c>
      <c r="H4">
        <f t="shared" ref="H4:H12" si="3">(D4-$D$14)/$F$15</f>
        <v>-0.80100544258979056</v>
      </c>
      <c r="I4">
        <f t="shared" ref="I4:I12" si="4">G4*H4</f>
        <v>0.89724524399518701</v>
      </c>
    </row>
    <row r="5" spans="2:10" x14ac:dyDescent="0.35">
      <c r="B5" s="1" t="s">
        <v>3</v>
      </c>
      <c r="C5" s="6">
        <v>4</v>
      </c>
      <c r="D5" s="7">
        <v>56</v>
      </c>
      <c r="E5">
        <f t="shared" si="0"/>
        <v>2.8900000000000006</v>
      </c>
      <c r="F5">
        <f t="shared" si="1"/>
        <v>0.25</v>
      </c>
      <c r="G5">
        <f t="shared" si="2"/>
        <v>-0.70527884159826892</v>
      </c>
      <c r="H5">
        <f t="shared" si="3"/>
        <v>-6.1615803276137734E-2</v>
      </c>
      <c r="I5">
        <f t="shared" si="4"/>
        <v>4.3456322358741244E-2</v>
      </c>
    </row>
    <row r="6" spans="2:10" x14ac:dyDescent="0.35">
      <c r="B6" s="1" t="s">
        <v>4</v>
      </c>
      <c r="C6" s="6">
        <v>5</v>
      </c>
      <c r="D6" s="7">
        <v>52</v>
      </c>
      <c r="E6">
        <f t="shared" si="0"/>
        <v>0.49000000000000027</v>
      </c>
      <c r="F6">
        <f t="shared" si="1"/>
        <v>20.25</v>
      </c>
      <c r="G6">
        <f t="shared" si="2"/>
        <v>-0.29040893477575785</v>
      </c>
      <c r="H6">
        <f t="shared" si="3"/>
        <v>-0.55454222948523957</v>
      </c>
      <c r="I6">
        <f t="shared" si="4"/>
        <v>0.16104401815298228</v>
      </c>
    </row>
    <row r="7" spans="2:10" x14ac:dyDescent="0.35">
      <c r="B7" s="1" t="s">
        <v>5</v>
      </c>
      <c r="C7" s="6">
        <v>4</v>
      </c>
      <c r="D7" s="7">
        <v>43</v>
      </c>
      <c r="E7">
        <f t="shared" si="0"/>
        <v>2.8900000000000006</v>
      </c>
      <c r="F7">
        <f t="shared" si="1"/>
        <v>182.25</v>
      </c>
      <c r="G7">
        <f t="shared" si="2"/>
        <v>-0.70527884159826892</v>
      </c>
      <c r="H7">
        <f t="shared" si="3"/>
        <v>-1.6636266884557189</v>
      </c>
      <c r="I7">
        <f t="shared" si="4"/>
        <v>1.1733207036860136</v>
      </c>
    </row>
    <row r="8" spans="2:10" x14ac:dyDescent="0.35">
      <c r="B8" s="1" t="s">
        <v>6</v>
      </c>
      <c r="C8" s="6">
        <v>6</v>
      </c>
      <c r="D8" s="7">
        <v>60</v>
      </c>
      <c r="E8">
        <f t="shared" si="0"/>
        <v>8.99999999999999E-2</v>
      </c>
      <c r="F8">
        <f t="shared" si="1"/>
        <v>12.25</v>
      </c>
      <c r="G8">
        <f t="shared" si="2"/>
        <v>0.12446097204675326</v>
      </c>
      <c r="H8">
        <f t="shared" si="3"/>
        <v>0.43131062293296413</v>
      </c>
      <c r="I8">
        <f t="shared" si="4"/>
        <v>5.3681339384327384E-2</v>
      </c>
    </row>
    <row r="9" spans="2:10" x14ac:dyDescent="0.35">
      <c r="B9" s="1" t="s">
        <v>7</v>
      </c>
      <c r="C9" s="6">
        <v>7</v>
      </c>
      <c r="D9" s="7">
        <v>62</v>
      </c>
      <c r="E9">
        <f t="shared" si="0"/>
        <v>1.6899999999999995</v>
      </c>
      <c r="F9">
        <f t="shared" si="1"/>
        <v>30.25</v>
      </c>
      <c r="G9">
        <f t="shared" si="2"/>
        <v>0.53933087886926434</v>
      </c>
      <c r="H9">
        <f t="shared" si="3"/>
        <v>0.67777383603751507</v>
      </c>
      <c r="I9">
        <f t="shared" si="4"/>
        <v>0.36554435866470569</v>
      </c>
    </row>
    <row r="10" spans="2:10" x14ac:dyDescent="0.35">
      <c r="B10" s="1" t="s">
        <v>8</v>
      </c>
      <c r="C10" s="6">
        <v>8</v>
      </c>
      <c r="D10" s="7">
        <v>58</v>
      </c>
      <c r="E10">
        <f t="shared" si="0"/>
        <v>5.2899999999999991</v>
      </c>
      <c r="F10">
        <f t="shared" si="1"/>
        <v>2.25</v>
      </c>
      <c r="G10">
        <f t="shared" si="2"/>
        <v>0.95420078569177547</v>
      </c>
      <c r="H10">
        <f t="shared" si="3"/>
        <v>0.18484740982841322</v>
      </c>
      <c r="I10">
        <f t="shared" si="4"/>
        <v>0.1763815436913615</v>
      </c>
    </row>
    <row r="11" spans="2:10" x14ac:dyDescent="0.35">
      <c r="B11" s="1" t="s">
        <v>9</v>
      </c>
      <c r="C11" s="6">
        <v>8</v>
      </c>
      <c r="D11" s="7">
        <v>64</v>
      </c>
      <c r="E11">
        <f t="shared" si="0"/>
        <v>5.2899999999999991</v>
      </c>
      <c r="F11">
        <f t="shared" si="1"/>
        <v>56.25</v>
      </c>
      <c r="G11">
        <f t="shared" si="2"/>
        <v>0.95420078569177547</v>
      </c>
      <c r="H11">
        <f t="shared" si="3"/>
        <v>0.92423704914206606</v>
      </c>
      <c r="I11">
        <f t="shared" si="4"/>
        <v>0.88190771845680749</v>
      </c>
    </row>
    <row r="12" spans="2:10" ht="15" thickBot="1" x14ac:dyDescent="0.4">
      <c r="B12" s="2" t="s">
        <v>10</v>
      </c>
      <c r="C12" s="8">
        <v>10</v>
      </c>
      <c r="D12" s="9">
        <v>72</v>
      </c>
      <c r="E12">
        <f t="shared" si="0"/>
        <v>18.489999999999998</v>
      </c>
      <c r="F12">
        <f t="shared" si="1"/>
        <v>240.25</v>
      </c>
      <c r="G12">
        <f t="shared" si="2"/>
        <v>1.7839405993367978</v>
      </c>
      <c r="H12">
        <f t="shared" si="3"/>
        <v>1.9100899015602697</v>
      </c>
      <c r="I12">
        <f t="shared" si="4"/>
        <v>3.4074869237765926</v>
      </c>
    </row>
    <row r="13" spans="2:10" x14ac:dyDescent="0.35">
      <c r="C13">
        <f>SUM(C3:C12)</f>
        <v>57</v>
      </c>
      <c r="D13">
        <f>SUM(D3:D12)</f>
        <v>565</v>
      </c>
      <c r="E13" s="12">
        <f>SUM(E3:E12)</f>
        <v>58.100000000000009</v>
      </c>
      <c r="F13">
        <f>SUM(F3:F12)</f>
        <v>658.5</v>
      </c>
      <c r="I13">
        <f>SUM(I3:I12)</f>
        <v>8.7679520994401443</v>
      </c>
    </row>
    <row r="14" spans="2:10" x14ac:dyDescent="0.35">
      <c r="C14" s="13">
        <f>C13/10</f>
        <v>5.7</v>
      </c>
      <c r="D14" s="13">
        <f>D13/10</f>
        <v>56.5</v>
      </c>
      <c r="E14">
        <f>E13/10</f>
        <v>5.8100000000000005</v>
      </c>
      <c r="F14">
        <f>SUM(F13/10)</f>
        <v>65.849999999999994</v>
      </c>
      <c r="I14">
        <f>I13/10</f>
        <v>0.87679520994401439</v>
      </c>
    </row>
    <row r="15" spans="2:10" x14ac:dyDescent="0.35">
      <c r="C15" t="s">
        <v>13</v>
      </c>
      <c r="D15" t="s">
        <v>14</v>
      </c>
      <c r="E15" s="13">
        <f>SQRT(E14)</f>
        <v>2.4103941586387903</v>
      </c>
      <c r="F15" s="13">
        <f>SQRT(F14)</f>
        <v>8.1148012914673391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DB313-EF56-4FF9-B258-CCA95D742D60}">
  <dimension ref="A2:J15"/>
  <sheetViews>
    <sheetView tabSelected="1" workbookViewId="0">
      <selection activeCell="D14" sqref="D14"/>
    </sheetView>
  </sheetViews>
  <sheetFormatPr defaultRowHeight="14.5" x14ac:dyDescent="0.35"/>
  <cols>
    <col min="2" max="2" width="10.90625" customWidth="1"/>
    <col min="3" max="3" width="10.54296875" customWidth="1"/>
    <col min="4" max="4" width="10.90625" customWidth="1"/>
    <col min="5" max="5" width="13.90625" customWidth="1"/>
    <col min="6" max="6" width="10.26953125" bestFit="1" customWidth="1"/>
    <col min="8" max="8" width="10.36328125" customWidth="1"/>
    <col min="9" max="9" width="14.453125" bestFit="1" customWidth="1"/>
  </cols>
  <sheetData>
    <row r="2" spans="1:10" ht="28" customHeight="1" x14ac:dyDescent="0.35">
      <c r="A2" s="14" t="s">
        <v>0</v>
      </c>
      <c r="B2" s="14" t="s">
        <v>12</v>
      </c>
      <c r="C2" s="14" t="s">
        <v>11</v>
      </c>
      <c r="D2" s="14" t="s">
        <v>20</v>
      </c>
      <c r="E2" s="14" t="s">
        <v>25</v>
      </c>
      <c r="F2" s="14" t="s">
        <v>24</v>
      </c>
      <c r="G2" s="14" t="s">
        <v>26</v>
      </c>
      <c r="H2" s="14" t="s">
        <v>27</v>
      </c>
      <c r="I2" s="14" t="s">
        <v>28</v>
      </c>
      <c r="J2" s="14" t="s">
        <v>29</v>
      </c>
    </row>
    <row r="3" spans="1:10" x14ac:dyDescent="0.35">
      <c r="A3" t="s">
        <v>1</v>
      </c>
      <c r="B3">
        <v>2</v>
      </c>
      <c r="C3" s="15">
        <v>48</v>
      </c>
      <c r="D3">
        <f>$D$14+$D$15*B3</f>
        <v>45.303614459999999</v>
      </c>
      <c r="E3">
        <f>C3-D3</f>
        <v>2.6963855400000014</v>
      </c>
      <c r="F3">
        <f>E3^2</f>
        <v>7.2704949803210992</v>
      </c>
      <c r="G3">
        <f>B3-$B$13</f>
        <v>-3.7</v>
      </c>
      <c r="H3">
        <f>C3-$C$13</f>
        <v>-8.5</v>
      </c>
      <c r="I3">
        <f>G3*H3</f>
        <v>31.450000000000003</v>
      </c>
      <c r="J3">
        <f>G3^2</f>
        <v>13.690000000000001</v>
      </c>
    </row>
    <row r="4" spans="1:10" x14ac:dyDescent="0.35">
      <c r="A4" t="s">
        <v>2</v>
      </c>
      <c r="B4">
        <v>3</v>
      </c>
      <c r="C4" s="15">
        <v>50</v>
      </c>
      <c r="D4">
        <f t="shared" ref="D4:D12" si="0">$D$14+$D$15*B4</f>
        <v>48.255421689999999</v>
      </c>
      <c r="E4">
        <f t="shared" ref="E4:E12" si="1">C4-D4</f>
        <v>1.7445783100000014</v>
      </c>
      <c r="F4">
        <f t="shared" ref="F4:F12" si="2">E4^2</f>
        <v>3.043553479722461</v>
      </c>
      <c r="G4">
        <f t="shared" ref="G4:G12" si="3">B4-$B$13</f>
        <v>-2.7</v>
      </c>
      <c r="H4">
        <f t="shared" ref="H4:H12" si="4">C4-$C$13</f>
        <v>-6.5</v>
      </c>
      <c r="I4">
        <f t="shared" ref="I4:I12" si="5">G4*H4</f>
        <v>17.55</v>
      </c>
      <c r="J4">
        <f t="shared" ref="J4:J12" si="6">G4^2</f>
        <v>7.2900000000000009</v>
      </c>
    </row>
    <row r="5" spans="1:10" x14ac:dyDescent="0.35">
      <c r="A5" t="s">
        <v>3</v>
      </c>
      <c r="B5">
        <v>4</v>
      </c>
      <c r="C5" s="15">
        <v>56</v>
      </c>
      <c r="D5">
        <f t="shared" si="0"/>
        <v>51.207228919999999</v>
      </c>
      <c r="E5">
        <f t="shared" si="1"/>
        <v>4.7927710800000014</v>
      </c>
      <c r="F5">
        <f t="shared" si="2"/>
        <v>22.970654625284379</v>
      </c>
      <c r="G5">
        <f t="shared" si="3"/>
        <v>-1.7000000000000002</v>
      </c>
      <c r="H5">
        <f t="shared" si="4"/>
        <v>-0.5</v>
      </c>
      <c r="I5">
        <f t="shared" si="5"/>
        <v>0.85000000000000009</v>
      </c>
      <c r="J5">
        <f t="shared" si="6"/>
        <v>2.8900000000000006</v>
      </c>
    </row>
    <row r="6" spans="1:10" x14ac:dyDescent="0.35">
      <c r="A6" t="s">
        <v>4</v>
      </c>
      <c r="B6">
        <v>5</v>
      </c>
      <c r="C6" s="15">
        <v>52</v>
      </c>
      <c r="D6">
        <f t="shared" si="0"/>
        <v>54.159036149999999</v>
      </c>
      <c r="E6">
        <f t="shared" si="1"/>
        <v>-2.1590361499999986</v>
      </c>
      <c r="F6">
        <f t="shared" si="2"/>
        <v>4.6614370970068162</v>
      </c>
      <c r="G6">
        <f t="shared" si="3"/>
        <v>-0.70000000000000018</v>
      </c>
      <c r="H6">
        <f t="shared" si="4"/>
        <v>-4.5</v>
      </c>
      <c r="I6">
        <f t="shared" si="5"/>
        <v>3.1500000000000008</v>
      </c>
      <c r="J6">
        <f t="shared" si="6"/>
        <v>0.49000000000000027</v>
      </c>
    </row>
    <row r="7" spans="1:10" x14ac:dyDescent="0.35">
      <c r="A7" t="s">
        <v>5</v>
      </c>
      <c r="B7">
        <v>4</v>
      </c>
      <c r="C7" s="15">
        <v>43</v>
      </c>
      <c r="D7">
        <f t="shared" si="0"/>
        <v>51.207228919999999</v>
      </c>
      <c r="E7">
        <f t="shared" si="1"/>
        <v>-8.2072289199999986</v>
      </c>
      <c r="F7">
        <f t="shared" si="2"/>
        <v>67.358606545284346</v>
      </c>
      <c r="G7">
        <f t="shared" si="3"/>
        <v>-1.7000000000000002</v>
      </c>
      <c r="H7">
        <f t="shared" si="4"/>
        <v>-13.5</v>
      </c>
      <c r="I7">
        <f t="shared" si="5"/>
        <v>22.950000000000003</v>
      </c>
      <c r="J7">
        <f t="shared" si="6"/>
        <v>2.8900000000000006</v>
      </c>
    </row>
    <row r="8" spans="1:10" x14ac:dyDescent="0.35">
      <c r="A8" t="s">
        <v>6</v>
      </c>
      <c r="B8">
        <v>6</v>
      </c>
      <c r="C8" s="15">
        <v>60</v>
      </c>
      <c r="D8">
        <f t="shared" si="0"/>
        <v>57.110843379999999</v>
      </c>
      <c r="E8">
        <f t="shared" si="1"/>
        <v>2.8891566200000014</v>
      </c>
      <c r="F8">
        <f t="shared" si="2"/>
        <v>8.3472259748898328</v>
      </c>
      <c r="G8">
        <f t="shared" si="3"/>
        <v>0.29999999999999982</v>
      </c>
      <c r="H8">
        <f t="shared" si="4"/>
        <v>3.5</v>
      </c>
      <c r="I8">
        <f t="shared" si="5"/>
        <v>1.0499999999999994</v>
      </c>
      <c r="J8">
        <f t="shared" si="6"/>
        <v>8.99999999999999E-2</v>
      </c>
    </row>
    <row r="9" spans="1:10" x14ac:dyDescent="0.35">
      <c r="A9" t="s">
        <v>7</v>
      </c>
      <c r="B9">
        <v>7</v>
      </c>
      <c r="C9" s="15">
        <v>62</v>
      </c>
      <c r="D9">
        <f t="shared" si="0"/>
        <v>60.062650609999999</v>
      </c>
      <c r="E9">
        <f t="shared" si="1"/>
        <v>1.9373493900000014</v>
      </c>
      <c r="F9">
        <f t="shared" si="2"/>
        <v>3.7533226589333775</v>
      </c>
      <c r="G9">
        <f t="shared" si="3"/>
        <v>1.2999999999999998</v>
      </c>
      <c r="H9">
        <f t="shared" si="4"/>
        <v>5.5</v>
      </c>
      <c r="I9">
        <f t="shared" si="5"/>
        <v>7.1499999999999986</v>
      </c>
      <c r="J9">
        <f t="shared" si="6"/>
        <v>1.6899999999999995</v>
      </c>
    </row>
    <row r="10" spans="1:10" x14ac:dyDescent="0.35">
      <c r="A10" t="s">
        <v>8</v>
      </c>
      <c r="B10">
        <v>8</v>
      </c>
      <c r="C10" s="15">
        <v>58</v>
      </c>
      <c r="D10">
        <f t="shared" si="0"/>
        <v>63.014457839999999</v>
      </c>
      <c r="E10">
        <f t="shared" si="1"/>
        <v>-5.0144578399999986</v>
      </c>
      <c r="F10">
        <f t="shared" si="2"/>
        <v>25.144787429137452</v>
      </c>
      <c r="G10">
        <f t="shared" si="3"/>
        <v>2.2999999999999998</v>
      </c>
      <c r="H10">
        <f t="shared" si="4"/>
        <v>1.5</v>
      </c>
      <c r="I10">
        <f t="shared" si="5"/>
        <v>3.4499999999999997</v>
      </c>
      <c r="J10">
        <f t="shared" si="6"/>
        <v>5.2899999999999991</v>
      </c>
    </row>
    <row r="11" spans="1:10" x14ac:dyDescent="0.35">
      <c r="A11" t="s">
        <v>9</v>
      </c>
      <c r="B11">
        <v>8</v>
      </c>
      <c r="C11" s="15">
        <v>64</v>
      </c>
      <c r="D11">
        <f t="shared" si="0"/>
        <v>63.014457839999999</v>
      </c>
      <c r="E11">
        <f t="shared" si="1"/>
        <v>0.98554216000000139</v>
      </c>
      <c r="F11">
        <f t="shared" si="2"/>
        <v>0.97129334913746834</v>
      </c>
      <c r="G11">
        <f t="shared" si="3"/>
        <v>2.2999999999999998</v>
      </c>
      <c r="H11">
        <f t="shared" si="4"/>
        <v>7.5</v>
      </c>
      <c r="I11">
        <f t="shared" si="5"/>
        <v>17.25</v>
      </c>
      <c r="J11">
        <f t="shared" si="6"/>
        <v>5.2899999999999991</v>
      </c>
    </row>
    <row r="12" spans="1:10" x14ac:dyDescent="0.35">
      <c r="A12" t="s">
        <v>10</v>
      </c>
      <c r="B12">
        <v>10</v>
      </c>
      <c r="C12" s="15">
        <v>72</v>
      </c>
      <c r="D12">
        <f t="shared" si="0"/>
        <v>68.918072300000006</v>
      </c>
      <c r="E12">
        <f t="shared" si="1"/>
        <v>3.0819276999999943</v>
      </c>
      <c r="F12">
        <f t="shared" si="2"/>
        <v>9.4982783480272541</v>
      </c>
      <c r="G12">
        <f t="shared" si="3"/>
        <v>4.3</v>
      </c>
      <c r="H12">
        <f t="shared" si="4"/>
        <v>15.5</v>
      </c>
      <c r="I12">
        <f t="shared" si="5"/>
        <v>66.649999999999991</v>
      </c>
      <c r="J12">
        <f t="shared" si="6"/>
        <v>18.489999999999998</v>
      </c>
    </row>
    <row r="13" spans="1:10" x14ac:dyDescent="0.35">
      <c r="B13">
        <f>AVERAGE(B3:B12)</f>
        <v>5.7</v>
      </c>
      <c r="C13">
        <f>AVERAGE(C3:C12)</f>
        <v>56.5</v>
      </c>
      <c r="D13" t="s">
        <v>23</v>
      </c>
      <c r="E13">
        <f>ROUND(SUM(E3:E12),4)</f>
        <v>2.7469999999999999</v>
      </c>
      <c r="F13" s="13">
        <f>SUM(F3:F12)</f>
        <v>153.01965448774448</v>
      </c>
      <c r="I13">
        <f>SUM(I3:I12)</f>
        <v>171.5</v>
      </c>
      <c r="J13">
        <f>SUM(J3:J12)</f>
        <v>58.100000000000009</v>
      </c>
    </row>
    <row r="14" spans="1:10" x14ac:dyDescent="0.35">
      <c r="C14" t="s">
        <v>21</v>
      </c>
      <c r="D14">
        <v>39.4</v>
      </c>
      <c r="E14">
        <f>C13-F15*B13</f>
        <v>39.674698795180724</v>
      </c>
    </row>
    <row r="15" spans="1:10" x14ac:dyDescent="0.35">
      <c r="C15" t="s">
        <v>22</v>
      </c>
      <c r="D15">
        <v>2.95180723</v>
      </c>
      <c r="E15" t="s">
        <v>22</v>
      </c>
      <c r="F15" s="16">
        <f>I13/J13</f>
        <v>2.9518072289156621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Exemplo1</vt:lpstr>
      <vt:lpstr>Exemplo2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Alunos</dc:creator>
  <cp:lastModifiedBy>Alunos</cp:lastModifiedBy>
  <dcterms:created xsi:type="dcterms:W3CDTF">2025-10-23T22:34:22Z</dcterms:created>
  <dcterms:modified xsi:type="dcterms:W3CDTF">2025-10-24T00:57:24Z</dcterms:modified>
</cp:coreProperties>
</file>